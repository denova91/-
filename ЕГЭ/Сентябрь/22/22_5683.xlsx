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<sst xmlns="http://schemas.openxmlformats.org/spreadsheetml/2006/main" count="7" uniqueCount="7">
  <si>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 процесса</t>
  </si>
  <si>
    <t xml:space="preserve">Время выполнения процесса (мс)</t>
  </si>
  <si>
    <t xml:space="preserve">a1</t>
  </si>
  <si>
    <t xml:space="preserve">a2</t>
  </si>
  <si>
    <t xml:space="preserve">t1</t>
  </si>
  <si>
    <t xml:space="preserve">t2</t>
  </si>
  <si>
    <t xml:space="preserve">tf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</si>
</sst>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n">
        <v>1</v>
      </c>
      <c r="B2" s="1" t="n">
        <v>28</v>
      </c>
      <c r="C2" s="1" t="n">
        <v>0</v>
      </c>
      <c r="D2" s="1" t="n">
        <v>0</v>
      </c>
      <c r="E2" s="1" t="n">
        <v>0</v>
      </c>
      <c r="F2" s="1" t="n">
        <v>0</v>
      </c>
      <c r="G2" s="0" t="n">
        <f aca="false">MAX(E2:F2)+B2</f>
        <v>28</v>
      </c>
      <c r="H2" s="0" t="n">
        <f aca="false">IF(G2&gt;70, 1, 0)</f>
        <v>0</v>
      </c>
    </row>
    <row r="3" customFormat="false" ht="15" hidden="false" customHeight="false" outlineLevel="0" collapsed="false">
      <c r="A3" s="1" t="n">
        <v>2</v>
      </c>
      <c r="B3" s="1" t="n">
        <v>4</v>
      </c>
      <c r="C3" s="1" t="n">
        <v>14</v>
      </c>
      <c r="D3" s="1" t="n">
        <v>0</v>
      </c>
      <c r="E3" s="0" t="n">
        <f aca="false">VLOOKUP(C:C,A:G,7,0)</f>
        <v>38</v>
      </c>
      <c r="F3" s="1" t="n">
        <v>0</v>
      </c>
      <c r="G3" s="0" t="n">
        <f aca="false">MAX(E3:F3)+B3</f>
        <v>42</v>
      </c>
      <c r="H3" s="0" t="n">
        <f aca="false">IF(G3&gt;70, 1, 0)</f>
        <v>0</v>
      </c>
    </row>
    <row r="4" customFormat="false" ht="15" hidden="false" customHeight="false" outlineLevel="0" collapsed="false">
      <c r="A4" s="1" t="n">
        <v>3</v>
      </c>
      <c r="B4" s="1" t="n">
        <v>18</v>
      </c>
      <c r="C4" s="1" t="n">
        <v>1</v>
      </c>
      <c r="D4" s="0" t="n">
        <v>6</v>
      </c>
      <c r="E4" s="0" t="n">
        <f aca="false">VLOOKUP(C:C,A:G,7,0)</f>
        <v>28</v>
      </c>
      <c r="F4" s="0" t="n">
        <f aca="false">VLOOKUP(D:D,A:G,7,0)</f>
        <v>16</v>
      </c>
      <c r="G4" s="0" t="n">
        <f aca="false">MAX(E4:F4)+B4</f>
        <v>46</v>
      </c>
      <c r="H4" s="0" t="n">
        <f aca="false">IF(G4&gt;70, 1, 0)</f>
        <v>0</v>
      </c>
    </row>
    <row r="5" customFormat="false" ht="15" hidden="false" customHeight="false" outlineLevel="0" collapsed="false">
      <c r="A5" s="1" t="n">
        <v>4</v>
      </c>
      <c r="B5" s="1" t="n">
        <v>37</v>
      </c>
      <c r="C5" s="1" t="n">
        <v>0</v>
      </c>
      <c r="D5" s="1" t="n">
        <v>0</v>
      </c>
      <c r="E5" s="1" t="n">
        <v>0</v>
      </c>
      <c r="F5" s="1" t="n">
        <v>0</v>
      </c>
      <c r="G5" s="0" t="n">
        <f aca="false">MAX(E5:F5)+B5</f>
        <v>37</v>
      </c>
      <c r="H5" s="0" t="n">
        <f aca="false">IF(G5&gt;70, 1, 0)</f>
        <v>0</v>
      </c>
    </row>
    <row r="6" customFormat="false" ht="15" hidden="false" customHeight="false" outlineLevel="0" collapsed="false">
      <c r="A6" s="1" t="n">
        <v>5</v>
      </c>
      <c r="B6" s="1" t="n">
        <v>22</v>
      </c>
      <c r="C6" s="1" t="n">
        <v>4</v>
      </c>
      <c r="D6" s="1" t="n">
        <v>0</v>
      </c>
      <c r="E6" s="0" t="n">
        <f aca="false">VLOOKUP(C:C,A:G,7,0)</f>
        <v>37</v>
      </c>
      <c r="F6" s="1" t="n">
        <v>0</v>
      </c>
      <c r="G6" s="0" t="n">
        <f aca="false">MAX(E6:F6)+B6</f>
        <v>59</v>
      </c>
      <c r="H6" s="0" t="n">
        <f aca="false">IF(G6&gt;70, 1, 0)</f>
        <v>0</v>
      </c>
    </row>
    <row r="7" customFormat="false" ht="15" hidden="false" customHeight="false" outlineLevel="0" collapsed="false">
      <c r="A7" s="1" t="n">
        <v>6</v>
      </c>
      <c r="B7" s="1" t="n">
        <v>16</v>
      </c>
      <c r="C7" s="1" t="n">
        <v>0</v>
      </c>
      <c r="D7" s="1" t="n">
        <v>0</v>
      </c>
      <c r="E7" s="0" t="n">
        <f aca="false">VLOOKUP(C:C,A:G,7,0)</f>
        <v>0</v>
      </c>
      <c r="F7" s="1" t="n">
        <v>0</v>
      </c>
      <c r="G7" s="0" t="n">
        <f aca="false">MAX(E7:F7)+B7</f>
        <v>16</v>
      </c>
      <c r="H7" s="0" t="n">
        <f aca="false">IF(G7&gt;70, 1, 0)</f>
        <v>0</v>
      </c>
    </row>
    <row r="8" customFormat="false" ht="15" hidden="false" customHeight="false" outlineLevel="0" collapsed="false">
      <c r="A8" s="1" t="n">
        <v>7</v>
      </c>
      <c r="B8" s="1" t="n">
        <v>20</v>
      </c>
      <c r="C8" s="1" t="n">
        <v>14</v>
      </c>
      <c r="D8" s="1" t="n">
        <v>0</v>
      </c>
      <c r="E8" s="0" t="n">
        <f aca="false">VLOOKUP(C:C,A:G,7,0)</f>
        <v>38</v>
      </c>
      <c r="F8" s="1" t="n">
        <v>0</v>
      </c>
      <c r="G8" s="0" t="n">
        <f aca="false">MAX(E8:F8)+B8</f>
        <v>58</v>
      </c>
      <c r="H8" s="0" t="n">
        <f aca="false">IF(G8&gt;70, 1, 0)</f>
        <v>0</v>
      </c>
    </row>
    <row r="9" customFormat="false" ht="15" hidden="false" customHeight="false" outlineLevel="0" collapsed="false">
      <c r="A9" s="1" t="n">
        <v>8</v>
      </c>
      <c r="B9" s="1" t="n">
        <v>13</v>
      </c>
      <c r="C9" s="1" t="n">
        <v>17</v>
      </c>
      <c r="D9" s="1" t="n">
        <v>0</v>
      </c>
      <c r="E9" s="0" t="n">
        <f aca="false">VLOOKUP(C:C,A:G,7,0)</f>
        <v>66</v>
      </c>
      <c r="F9" s="1" t="n">
        <v>0</v>
      </c>
      <c r="G9" s="0" t="n">
        <f aca="false">MAX(E9:F9)+B9</f>
        <v>79</v>
      </c>
      <c r="H9" s="0" t="n">
        <f aca="false">IF(G9&gt;70, 1, 0)</f>
        <v>1</v>
      </c>
    </row>
    <row r="10" customFormat="false" ht="15" hidden="false" customHeight="false" outlineLevel="0" collapsed="false">
      <c r="A10" s="1" t="n">
        <v>9</v>
      </c>
      <c r="B10" s="1" t="n">
        <v>28</v>
      </c>
      <c r="C10" s="1" t="n">
        <v>3</v>
      </c>
      <c r="D10" s="1" t="n">
        <v>4</v>
      </c>
      <c r="E10" s="0" t="n">
        <f aca="false">VLOOKUP(C:C,A:G,7,0)</f>
        <v>46</v>
      </c>
      <c r="F10" s="0" t="n">
        <f aca="false">VLOOKUP(D:D,A:G,7,0)</f>
        <v>37</v>
      </c>
      <c r="G10" s="0" t="n">
        <f aca="false">MAX(E10:F10)+B10</f>
        <v>74</v>
      </c>
      <c r="H10" s="0" t="n">
        <f aca="false">IF(G10&gt;70, 1, 0)</f>
        <v>1</v>
      </c>
    </row>
    <row r="11" customFormat="false" ht="15" hidden="false" customHeight="false" outlineLevel="0" collapsed="false">
      <c r="A11" s="1" t="n">
        <v>10</v>
      </c>
      <c r="B11" s="1" t="n">
        <v>13</v>
      </c>
      <c r="C11" s="1" t="n">
        <v>5</v>
      </c>
      <c r="D11" s="1" t="n">
        <v>0</v>
      </c>
      <c r="E11" s="0" t="n">
        <f aca="false">VLOOKUP(C:C,A:G,7,0)</f>
        <v>59</v>
      </c>
      <c r="F11" s="1" t="n">
        <v>0</v>
      </c>
      <c r="G11" s="0" t="n">
        <f aca="false">MAX(E11:F11)+B11</f>
        <v>72</v>
      </c>
      <c r="H11" s="0" t="n">
        <f aca="false">IF(G11&gt;70, 1, 0)</f>
        <v>1</v>
      </c>
    </row>
    <row r="12" customFormat="false" ht="15" hidden="false" customHeight="false" outlineLevel="0" collapsed="false">
      <c r="A12" s="1" t="n">
        <v>11</v>
      </c>
      <c r="B12" s="1" t="n">
        <v>11</v>
      </c>
      <c r="C12" s="1" t="n">
        <v>14</v>
      </c>
      <c r="D12" s="1" t="n">
        <v>17</v>
      </c>
      <c r="E12" s="0" t="n">
        <f aca="false">VLOOKUP(C:C,A:G,7,0)</f>
        <v>38</v>
      </c>
      <c r="F12" s="0" t="n">
        <f aca="false">VLOOKUP(D:D,A:G,7,0)</f>
        <v>66</v>
      </c>
      <c r="G12" s="0" t="n">
        <f aca="false">MAX(E12:F12)+B12</f>
        <v>77</v>
      </c>
      <c r="H12" s="0" t="n">
        <f aca="false">IF(G12&gt;70, 1, 0)</f>
        <v>1</v>
      </c>
    </row>
    <row r="13" customFormat="false" ht="15" hidden="false" customHeight="false" outlineLevel="0" collapsed="false">
      <c r="A13" s="1" t="n">
        <v>12</v>
      </c>
      <c r="B13" s="1" t="n">
        <v>30</v>
      </c>
      <c r="C13" s="1" t="n">
        <v>10</v>
      </c>
      <c r="D13" s="1" t="n">
        <v>17</v>
      </c>
      <c r="E13" s="0" t="n">
        <f aca="false">VLOOKUP(C:C,A:G,7,0)</f>
        <v>72</v>
      </c>
      <c r="F13" s="0" t="n">
        <f aca="false">VLOOKUP(D:D,A:G,7,0)</f>
        <v>66</v>
      </c>
      <c r="G13" s="0" t="n">
        <f aca="false">MAX(E13:F13)+B13</f>
        <v>102</v>
      </c>
      <c r="H13" s="0" t="n">
        <f aca="false">IF(G13&gt;70, 1, 0)</f>
        <v>1</v>
      </c>
    </row>
    <row r="14" customFormat="false" ht="15" hidden="false" customHeight="false" outlineLevel="0" collapsed="false">
      <c r="A14" s="1" t="n">
        <v>13</v>
      </c>
      <c r="B14" s="1" t="n">
        <v>40</v>
      </c>
      <c r="C14" s="1" t="n">
        <v>4</v>
      </c>
      <c r="D14" s="0" t="n">
        <v>5</v>
      </c>
      <c r="E14" s="0" t="n">
        <f aca="false">VLOOKUP(C:C,A:G,7,0)</f>
        <v>37</v>
      </c>
      <c r="F14" s="0" t="n">
        <f aca="false">VLOOKUP(D:D,A:G,7,0)</f>
        <v>59</v>
      </c>
      <c r="G14" s="0" t="n">
        <f aca="false">MAX(E14:F14)+B14</f>
        <v>99</v>
      </c>
      <c r="H14" s="0" t="n">
        <f aca="false">IF(G14&gt;70, 1, 0)</f>
        <v>1</v>
      </c>
    </row>
    <row r="15" customFormat="false" ht="15" hidden="false" customHeight="false" outlineLevel="0" collapsed="false">
      <c r="A15" s="1" t="n">
        <v>14</v>
      </c>
      <c r="B15" s="1" t="n">
        <v>38</v>
      </c>
      <c r="C15" s="1" t="n">
        <v>0</v>
      </c>
      <c r="D15" s="1" t="n">
        <v>0</v>
      </c>
      <c r="E15" s="1" t="n">
        <v>0</v>
      </c>
      <c r="F15" s="1" t="n">
        <v>0</v>
      </c>
      <c r="G15" s="0" t="n">
        <f aca="false">MAX(E15:F15)+B15</f>
        <v>38</v>
      </c>
      <c r="H15" s="0" t="n">
        <f aca="false">IF(G15&gt;70, 1, 0)</f>
        <v>0</v>
      </c>
    </row>
    <row r="16" customFormat="false" ht="15" hidden="false" customHeight="false" outlineLevel="0" collapsed="false">
      <c r="A16" s="1" t="n">
        <v>15</v>
      </c>
      <c r="B16" s="1" t="n">
        <v>11</v>
      </c>
      <c r="C16" s="1" t="n">
        <v>16</v>
      </c>
      <c r="D16" s="1" t="n">
        <v>0</v>
      </c>
      <c r="E16" s="0" t="n">
        <f aca="false">VLOOKUP(C:C,A:G,7,0)</f>
        <v>94</v>
      </c>
      <c r="F16" s="1" t="n">
        <v>0</v>
      </c>
      <c r="G16" s="0" t="n">
        <f aca="false">MAX(E16:F16)+B16</f>
        <v>105</v>
      </c>
      <c r="H16" s="0" t="n">
        <f aca="false">IF(G16&gt;70, 1, 0)</f>
        <v>1</v>
      </c>
    </row>
    <row r="17" customFormat="false" ht="15" hidden="false" customHeight="false" outlineLevel="0" collapsed="false">
      <c r="A17" s="1" t="n">
        <v>16</v>
      </c>
      <c r="B17" s="1" t="n">
        <v>22</v>
      </c>
      <c r="C17" s="1" t="n">
        <v>6</v>
      </c>
      <c r="D17" s="0" t="n">
        <v>20</v>
      </c>
      <c r="E17" s="0" t="n">
        <f aca="false">VLOOKUP(C:C,A:G,7,0)</f>
        <v>16</v>
      </c>
      <c r="F17" s="0" t="n">
        <f aca="false">VLOOKUP(D:D,A:G,7,0)</f>
        <v>72</v>
      </c>
      <c r="G17" s="0" t="n">
        <f aca="false">MAX(E17:F17)+B17</f>
        <v>94</v>
      </c>
      <c r="H17" s="0" t="n">
        <f aca="false">IF(G17&gt;70, 1, 0)</f>
        <v>1</v>
      </c>
    </row>
    <row r="18" customFormat="false" ht="15" hidden="false" customHeight="false" outlineLevel="0" collapsed="false">
      <c r="A18" s="1" t="n">
        <v>17</v>
      </c>
      <c r="B18" s="1" t="n">
        <v>38</v>
      </c>
      <c r="C18" s="1" t="n">
        <v>1</v>
      </c>
      <c r="D18" s="1" t="n">
        <v>0</v>
      </c>
      <c r="E18" s="0" t="n">
        <f aca="false">VLOOKUP(C:C,A:G,7,0)</f>
        <v>28</v>
      </c>
      <c r="F18" s="1" t="n">
        <v>0</v>
      </c>
      <c r="G18" s="0" t="n">
        <f aca="false">MAX(E18:F18)+B18</f>
        <v>66</v>
      </c>
      <c r="H18" s="0" t="n">
        <f aca="false">IF(G18&gt;70, 1, 0)</f>
        <v>0</v>
      </c>
    </row>
    <row r="19" customFormat="false" ht="15" hidden="false" customHeight="false" outlineLevel="0" collapsed="false">
      <c r="A19" s="1" t="n">
        <v>18</v>
      </c>
      <c r="B19" s="1" t="n">
        <v>21</v>
      </c>
      <c r="C19" s="1" t="n">
        <v>4</v>
      </c>
      <c r="D19" s="1" t="n">
        <v>0</v>
      </c>
      <c r="E19" s="0" t="n">
        <f aca="false">VLOOKUP(C:C,A:G,7,0)</f>
        <v>37</v>
      </c>
      <c r="F19" s="1" t="n">
        <v>0</v>
      </c>
      <c r="G19" s="0" t="n">
        <f aca="false">MAX(E19:F19)+B19</f>
        <v>58</v>
      </c>
      <c r="H19" s="0" t="n">
        <f aca="false">IF(G19&gt;70, 1, 0)</f>
        <v>0</v>
      </c>
    </row>
    <row r="20" customFormat="false" ht="15" hidden="false" customHeight="false" outlineLevel="0" collapsed="false">
      <c r="A20" s="1" t="n">
        <v>19</v>
      </c>
      <c r="B20" s="1" t="n">
        <v>26</v>
      </c>
      <c r="C20" s="1" t="n">
        <v>14</v>
      </c>
      <c r="D20" s="1" t="n">
        <v>0</v>
      </c>
      <c r="E20" s="0" t="n">
        <f aca="false">VLOOKUP(C:C,A:G,7,0)</f>
        <v>38</v>
      </c>
      <c r="F20" s="1" t="n">
        <v>0</v>
      </c>
      <c r="G20" s="0" t="n">
        <f aca="false">MAX(E20:F20)+B20</f>
        <v>64</v>
      </c>
      <c r="H20" s="0" t="n">
        <f aca="false">IF(G20&gt;70, 1, 0)</f>
        <v>0</v>
      </c>
    </row>
    <row r="21" customFormat="false" ht="15" hidden="false" customHeight="false" outlineLevel="0" collapsed="false">
      <c r="A21" s="1" t="n">
        <v>20</v>
      </c>
      <c r="B21" s="1" t="n">
        <v>34</v>
      </c>
      <c r="C21" s="1" t="n">
        <v>6</v>
      </c>
      <c r="D21" s="0" t="n">
        <v>14</v>
      </c>
      <c r="E21" s="0" t="n">
        <f aca="false">VLOOKUP(C:C,A:G,7,0)</f>
        <v>16</v>
      </c>
      <c r="F21" s="0" t="n">
        <f aca="false">VLOOKUP(D:D,A:G,7,0)</f>
        <v>38</v>
      </c>
      <c r="G21" s="0" t="n">
        <f aca="false">MAX(E21:F21)+B21</f>
        <v>72</v>
      </c>
      <c r="H21" s="0" t="n">
        <f aca="false">IF(G21&gt;70, 1, 0)</f>
        <v>1</v>
      </c>
    </row>
    <row r="22" customFormat="false" ht="15" hidden="false" customHeight="false" outlineLevel="0" collapsed="false">
      <c r="A22" s="1" t="n">
        <v>0</v>
      </c>
      <c r="B22" s="1" t="n">
        <v>0</v>
      </c>
      <c r="H22" s="4" t="n">
        <f aca="false">SUM(H2:H21)</f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2026-09-29T09:23:32Z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